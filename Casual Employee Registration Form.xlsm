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LEAR TECH LTD\Desktop\"/>
    </mc:Choice>
  </mc:AlternateContent>
  <xr:revisionPtr revIDLastSave="0" documentId="13_ncr:1_{0A38F335-E978-4E47-8CEE-6FF379352D0F}" xr6:coauthVersionLast="47" xr6:coauthVersionMax="47" xr10:uidLastSave="{00000000-0000-0000-0000-000000000000}"/>
  <bookViews>
    <workbookView xWindow="-110" yWindow="-110" windowWidth="19420" windowHeight="10300" activeTab="1" xr2:uid="{B8D696FD-2EC2-47C5-8220-D51BDDEE19F3}"/>
  </bookViews>
  <sheets>
    <sheet name="Form" sheetId="1" r:id="rId1"/>
    <sheet name="Dashboard &amp; Database" sheetId="2" r:id="rId2"/>
    <sheet name="Data" sheetId="3" r:id="rId3"/>
  </sheets>
  <definedNames>
    <definedName name="_xlnm._FilterDatabase" localSheetId="1" hidden="1">'Dashboard &amp; Database'!$B$15:$J$25</definedName>
    <definedName name="_xlchart.v1.0" hidden="1">'Dashboard &amp; Database'!$G$15</definedName>
    <definedName name="_xlchart.v1.1" hidden="1">'Dashboard &amp; Database'!$G$16:$G$25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2" l="1"/>
  <c r="I2" i="2"/>
  <c r="I1" i="2"/>
  <c r="C4" i="2"/>
  <c r="B4" i="2"/>
  <c r="F30" i="1"/>
  <c r="F29" i="1"/>
  <c r="F28" i="1"/>
  <c r="F27" i="1"/>
  <c r="F26" i="1"/>
  <c r="F25" i="1"/>
  <c r="F24" i="1"/>
  <c r="F23" i="1"/>
  <c r="F22" i="1"/>
</calcChain>
</file>

<file path=xl/sharedStrings.xml><?xml version="1.0" encoding="utf-8"?>
<sst xmlns="http://schemas.openxmlformats.org/spreadsheetml/2006/main" count="94" uniqueCount="61">
  <si>
    <t>First Name</t>
  </si>
  <si>
    <t>Last Name</t>
  </si>
  <si>
    <t>Email</t>
  </si>
  <si>
    <t>Phone No</t>
  </si>
  <si>
    <t>NID</t>
  </si>
  <si>
    <t>DOB</t>
  </si>
  <si>
    <t>Residencey Information</t>
  </si>
  <si>
    <t>Country</t>
  </si>
  <si>
    <t>Province</t>
  </si>
  <si>
    <t>District</t>
  </si>
  <si>
    <t>International</t>
  </si>
  <si>
    <t xml:space="preserve">Refugee </t>
  </si>
  <si>
    <t>Rwanda</t>
  </si>
  <si>
    <t>Kigali City</t>
  </si>
  <si>
    <t>Peter</t>
  </si>
  <si>
    <t>Gasabo</t>
  </si>
  <si>
    <t>Patrick</t>
  </si>
  <si>
    <t>John</t>
  </si>
  <si>
    <t>Tito</t>
  </si>
  <si>
    <t>Net Pay</t>
  </si>
  <si>
    <t>Casual Employee Registration Form</t>
  </si>
  <si>
    <t>Ntakirutimana</t>
  </si>
  <si>
    <t>info@patrick.com</t>
  </si>
  <si>
    <t>Western Province</t>
  </si>
  <si>
    <t>Rubavu</t>
  </si>
  <si>
    <t>Rutaremara</t>
  </si>
  <si>
    <t>info@tito.com</t>
  </si>
  <si>
    <t>Kicukiro</t>
  </si>
  <si>
    <t>peter@ughe.org</t>
  </si>
  <si>
    <t>Northern Province</t>
  </si>
  <si>
    <t>N/A (non-Rwanda)</t>
  </si>
  <si>
    <t>Kabare</t>
  </si>
  <si>
    <t>Therese</t>
  </si>
  <si>
    <t>Karara</t>
  </si>
  <si>
    <t>therese@gmail.com</t>
  </si>
  <si>
    <t>Southern Province</t>
  </si>
  <si>
    <t>Karongi</t>
  </si>
  <si>
    <t>Olivier</t>
  </si>
  <si>
    <t>Kwizera</t>
  </si>
  <si>
    <t>kwizera@kepler.org</t>
  </si>
  <si>
    <t>Nyarugenge</t>
  </si>
  <si>
    <t>Specioza</t>
  </si>
  <si>
    <t>Dushimina</t>
  </si>
  <si>
    <t>speci@vanguardeconomics.com</t>
  </si>
  <si>
    <t>kamonyi</t>
  </si>
  <si>
    <t>Refugees</t>
  </si>
  <si>
    <t>Internationals</t>
  </si>
  <si>
    <t>Wilson</t>
  </si>
  <si>
    <t>Ndikumana</t>
  </si>
  <si>
    <t>wilson@gmail.com</t>
  </si>
  <si>
    <t>Rusizi</t>
  </si>
  <si>
    <t>Gicumbi</t>
  </si>
  <si>
    <t>Bertin</t>
  </si>
  <si>
    <t>Ihabose</t>
  </si>
  <si>
    <t>bertin@gmail.com</t>
  </si>
  <si>
    <t>Innocent</t>
  </si>
  <si>
    <t>Mirembe</t>
  </si>
  <si>
    <t>innocent@ghu.edu</t>
  </si>
  <si>
    <t>N/A</t>
  </si>
  <si>
    <t>Made By Patrick</t>
  </si>
  <si>
    <r>
      <rPr>
        <b/>
        <sz val="11"/>
        <color theme="1"/>
        <rFont val="Aptos Narrow"/>
        <family val="2"/>
        <scheme val="minor"/>
      </rPr>
      <t>contact us</t>
    </r>
    <r>
      <rPr>
        <sz val="11"/>
        <color theme="1"/>
        <rFont val="Aptos Narrow"/>
        <family val="2"/>
        <scheme val="minor"/>
      </rPr>
      <t xml:space="preserve"> on patrickntawukuriryayo@gmail.com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</si>
</sst>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theme="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5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0" xfId="0" applyFill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4" fillId="3" borderId="10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0" fillId="3" borderId="10" xfId="0" applyFill="1" applyBorder="1"/>
    <xf numFmtId="0" fontId="0" fillId="3" borderId="11" xfId="0" applyFill="1" applyBorder="1"/>
    <xf numFmtId="0" fontId="0" fillId="3" borderId="1" xfId="0" applyFill="1" applyBorder="1" applyAlignment="1"/>
    <xf numFmtId="0" fontId="6" fillId="2" borderId="0" xfId="0" applyFont="1" applyFill="1" applyBorder="1" applyAlignment="1">
      <alignment horizontal="center"/>
    </xf>
    <xf numFmtId="1" fontId="0" fillId="0" borderId="0" xfId="0" applyNumberFormat="1"/>
    <xf numFmtId="0" fontId="1" fillId="4" borderId="0" xfId="0" applyFont="1" applyFill="1" applyBorder="1"/>
    <xf numFmtId="0" fontId="1" fillId="4" borderId="13" xfId="0" applyFont="1" applyFill="1" applyBorder="1"/>
    <xf numFmtId="0" fontId="1" fillId="4" borderId="14" xfId="0" applyFont="1" applyFill="1" applyBorder="1"/>
    <xf numFmtId="0" fontId="0" fillId="2" borderId="10" xfId="0" applyFill="1" applyBorder="1" applyProtection="1"/>
    <xf numFmtId="0" fontId="0" fillId="2" borderId="12" xfId="0" applyFill="1" applyBorder="1" applyProtection="1"/>
    <xf numFmtId="0" fontId="0" fillId="2" borderId="11" xfId="0" applyFill="1" applyBorder="1" applyProtection="1"/>
    <xf numFmtId="1" fontId="0" fillId="2" borderId="10" xfId="0" applyNumberFormat="1" applyFill="1" applyBorder="1" applyProtection="1"/>
    <xf numFmtId="1" fontId="0" fillId="2" borderId="12" xfId="0" applyNumberFormat="1" applyFill="1" applyBorder="1" applyProtection="1"/>
    <xf numFmtId="1" fontId="0" fillId="2" borderId="11" xfId="0" applyNumberFormat="1" applyFill="1" applyBorder="1" applyProtection="1"/>
    <xf numFmtId="0" fontId="0" fillId="2" borderId="10" xfId="0" applyFill="1" applyBorder="1" applyAlignment="1" applyProtection="1"/>
    <xf numFmtId="0" fontId="0" fillId="2" borderId="11" xfId="0" applyFill="1" applyBorder="1" applyAlignment="1" applyProtection="1"/>
    <xf numFmtId="1" fontId="1" fillId="4" borderId="0" xfId="0" applyNumberFormat="1" applyFont="1" applyFill="1" applyBorder="1"/>
    <xf numFmtId="0" fontId="5" fillId="2" borderId="10" xfId="1" applyFill="1" applyBorder="1" applyProtection="1"/>
    <xf numFmtId="0" fontId="3" fillId="0" borderId="0" xfId="0" applyFont="1"/>
    <xf numFmtId="3" fontId="3" fillId="0" borderId="0" xfId="0" applyNumberFormat="1" applyFont="1"/>
    <xf numFmtId="1" fontId="3" fillId="0" borderId="0" xfId="0" applyNumberFormat="1" applyFont="1"/>
  </cellXfs>
  <cellStyles count="2">
    <cellStyle name="Hyperlink" xfId="1" builtinId="8"/>
    <cellStyle name="Normal" xfId="0" builtinId="0"/>
  </cellStyles>
  <dxfs count="4">
    <dxf>
      <numFmt numFmtId="1" formatCode="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Employee Origin</a:t>
            </a:r>
          </a:p>
        </c:rich>
      </c:tx>
      <c:layout>
        <c:manualLayout>
          <c:xMode val="edge"/>
          <c:yMode val="edge"/>
          <c:x val="0.51464904606222461"/>
          <c:y val="6.10687022900763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explosion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111-4CCA-843F-D300F5DE212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111-4CCA-843F-D300F5DE2126}"/>
              </c:ext>
            </c:extLst>
          </c:dPt>
          <c:dPt>
            <c:idx val="2"/>
            <c:bubble3D val="0"/>
            <c:explosion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9111-4CCA-843F-D300F5DE2126}"/>
              </c:ext>
            </c:extLst>
          </c:dPt>
          <c:dLbls>
            <c:dLbl>
              <c:idx val="0"/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128823809304534"/>
                      <c:h val="0.1924722005169201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9111-4CCA-843F-D300F5DE2126}"/>
                </c:ext>
              </c:extLst>
            </c:dLbl>
            <c:dLbl>
              <c:idx val="1"/>
              <c:layout>
                <c:manualLayout>
                  <c:x val="5.4580896686159827E-2"/>
                  <c:y val="6.48854961832060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26359871682706326"/>
                      <c:h val="0.2611744905932559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111-4CCA-843F-D300F5DE2126}"/>
                </c:ext>
              </c:extLst>
            </c:dLbl>
            <c:dLbl>
              <c:idx val="2"/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744685423094045"/>
                      <c:h val="0.2771461200937669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9111-4CCA-843F-D300F5DE2126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'Dashboard &amp; Database'!$H$1:$H$3</c:f>
              <c:strCache>
                <c:ptCount val="3"/>
                <c:pt idx="0">
                  <c:v>Rwanda</c:v>
                </c:pt>
                <c:pt idx="1">
                  <c:v>Refugees</c:v>
                </c:pt>
                <c:pt idx="2">
                  <c:v>Internationals</c:v>
                </c:pt>
              </c:strCache>
            </c:strRef>
          </c:cat>
          <c:val>
            <c:numRef>
              <c:f>'Dashboard &amp; Database'!$I$1:$I$3</c:f>
              <c:numCache>
                <c:formatCode>General</c:formatCode>
                <c:ptCount val="3"/>
                <c:pt idx="0">
                  <c:v>6</c:v>
                </c:pt>
                <c:pt idx="1">
                  <c:v>2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11-4CCA-843F-D300F5DE21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tx2">
        <a:lumMod val="10000"/>
        <a:lumOff val="9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glow rad="63500">
        <a:schemeClr val="accent4">
          <a:satMod val="175000"/>
          <a:alpha val="40000"/>
        </a:schemeClr>
      </a:glow>
    </a:effectLst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Payment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lang="en-US"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r>
            <a:rPr lang="en-US"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rPr>
            <a:t>Payment Distribution</a:t>
          </a:r>
        </a:p>
      </cx:txPr>
    </cx:title>
    <cx:plotArea>
      <cx:plotAreaRegion>
        <cx:series layoutId="clusteredColumn" uniqueId="{6AE2A165-0457-419B-BC49-CED5A683B42B}">
          <cx:tx>
            <cx:txData>
              <cx:f>_xlchart.v1.0</cx:f>
              <cx:v>Net Pay</cx:v>
            </cx:txData>
          </cx:tx>
          <cx:dataLabels>
            <cx:txPr>
              <a:bodyPr vertOverflow="overflow" horzOverflow="overflow" wrap="square" lIns="0" tIns="0" rIns="0" bIns="0"/>
              <a:lstStyle/>
              <a:p>
                <a:pPr algn="ctr" rtl="0">
                  <a:defRPr lang="en-US"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endParaRPr>
              </a:p>
            </cx:txPr>
            <cx:visibility seriesName="0" categoryName="0" value="1"/>
          </cx:dataLabels>
          <cx:dataId val="0"/>
          <cx:layoutPr>
            <cx:binning intervalClosed="r"/>
          </cx:layoutPr>
        </cx:series>
      </cx:plotAreaRegion>
      <cx:axis id="0">
        <cx:catScaling gapWidth="0"/>
        <cx:tickLabels/>
        <cx:txPr>
          <a:bodyPr vertOverflow="overflow" horzOverflow="overflow" wrap="square" lIns="0" tIns="0" rIns="0" bIns="0"/>
          <a:lstStyle/>
          <a:p>
            <a:pPr algn="ctr" rtl="0">
              <a:defRPr lang="en-US"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cx:txPr>
      </cx:axis>
      <cx:axis id="1">
        <cx:valScaling/>
        <cx:tickLabels/>
        <cx:txPr>
          <a:bodyPr vertOverflow="overflow" horzOverflow="overflow" wrap="square" lIns="0" tIns="0" rIns="0" bIns="0"/>
          <a:lstStyle/>
          <a:p>
            <a:pPr algn="ctr" rtl="0">
              <a:defRPr lang="en-US"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cx:txPr>
      </cx:axis>
    </cx:plotArea>
  </cx:chart>
  <cx:spPr>
    <a:solidFill>
      <a:schemeClr val="tx2">
        <a:lumMod val="10000"/>
        <a:lumOff val="90000"/>
      </a:schemeClr>
    </a:solidFill>
    <a:effectLst>
      <a:glow rad="63500">
        <a:schemeClr val="accent4">
          <a:satMod val="175000"/>
          <a:alpha val="40000"/>
        </a:schemeClr>
      </a:glow>
    </a:effectLst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533400</xdr:colOff>
      <xdr:row>13</xdr:row>
      <xdr:rowOff>88900</xdr:rowOff>
    </xdr:from>
    <xdr:to>
      <xdr:col>9</xdr:col>
      <xdr:colOff>25400</xdr:colOff>
      <xdr:row>16</xdr:row>
      <xdr:rowOff>69850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AA646EA-3677-5EF0-D94F-3BCF53F2DDBE}"/>
            </a:ext>
          </a:extLst>
        </xdr:cNvPr>
        <xdr:cNvSpPr/>
      </xdr:nvSpPr>
      <xdr:spPr>
        <a:xfrm>
          <a:off x="3581400" y="2673350"/>
          <a:ext cx="1930400" cy="53340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882650</xdr:colOff>
      <xdr:row>14</xdr:row>
      <xdr:rowOff>6350</xdr:rowOff>
    </xdr:from>
    <xdr:to>
      <xdr:col>7</xdr:col>
      <xdr:colOff>349250</xdr:colOff>
      <xdr:row>15</xdr:row>
      <xdr:rowOff>76200</xdr:rowOff>
    </xdr:to>
    <xdr:sp macro="[0]!Employee" textlink="">
      <xdr:nvSpPr>
        <xdr:cNvPr id="3" name="TextBox 2">
          <a:extLst>
            <a:ext uri="{FF2B5EF4-FFF2-40B4-BE49-F238E27FC236}">
              <a16:creationId xmlns:a16="http://schemas.microsoft.com/office/drawing/2014/main" id="{6BE0D087-9F4F-98EF-0419-3BB85421E600}"/>
            </a:ext>
          </a:extLst>
        </xdr:cNvPr>
        <xdr:cNvSpPr txBox="1"/>
      </xdr:nvSpPr>
      <xdr:spPr>
        <a:xfrm>
          <a:off x="3930650" y="2825750"/>
          <a:ext cx="1441450" cy="25400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b="1"/>
            <a:t>Submit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0</xdr:row>
      <xdr:rowOff>38100</xdr:rowOff>
    </xdr:from>
    <xdr:to>
      <xdr:col>2</xdr:col>
      <xdr:colOff>781050</xdr:colOff>
      <xdr:row>3</xdr:row>
      <xdr:rowOff>158750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F032261-6CBB-CB78-B852-E84CD665D9D8}"/>
            </a:ext>
          </a:extLst>
        </xdr:cNvPr>
        <xdr:cNvSpPr/>
      </xdr:nvSpPr>
      <xdr:spPr>
        <a:xfrm>
          <a:off x="704850" y="38100"/>
          <a:ext cx="1809750" cy="673100"/>
        </a:xfrm>
        <a:prstGeom prst="roundRect">
          <a:avLst/>
        </a:prstGeom>
        <a:ln>
          <a:noFill/>
        </a:ln>
        <a:effectLst>
          <a:glow rad="63500">
            <a:schemeClr val="accent4">
              <a:satMod val="175000"/>
              <a:alpha val="40000"/>
            </a:schemeClr>
          </a:glow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330200</xdr:colOff>
      <xdr:row>0</xdr:row>
      <xdr:rowOff>114300</xdr:rowOff>
    </xdr:from>
    <xdr:to>
      <xdr:col>2</xdr:col>
      <xdr:colOff>590550</xdr:colOff>
      <xdr:row>2</xdr:row>
      <xdr:rowOff>44450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91A8890-90A2-04A5-C1F7-C26B15682A06}"/>
            </a:ext>
          </a:extLst>
        </xdr:cNvPr>
        <xdr:cNvSpPr txBox="1"/>
      </xdr:nvSpPr>
      <xdr:spPr>
        <a:xfrm>
          <a:off x="939800" y="114300"/>
          <a:ext cx="1384300" cy="298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>
              <a:solidFill>
                <a:schemeClr val="bg1"/>
              </a:solidFill>
            </a:rPr>
            <a:t>Total </a:t>
          </a:r>
          <a:r>
            <a:rPr lang="en-US" sz="1200" b="1">
              <a:solidFill>
                <a:schemeClr val="bg1"/>
              </a:solidFill>
            </a:rPr>
            <a:t>Employees</a:t>
          </a:r>
        </a:p>
      </xdr:txBody>
    </xdr:sp>
    <xdr:clientData/>
  </xdr:twoCellAnchor>
  <xdr:twoCellAnchor>
    <xdr:from>
      <xdr:col>1</xdr:col>
      <xdr:colOff>641350</xdr:colOff>
      <xdr:row>1</xdr:row>
      <xdr:rowOff>177800</xdr:rowOff>
    </xdr:from>
    <xdr:to>
      <xdr:col>2</xdr:col>
      <xdr:colOff>127000</xdr:colOff>
      <xdr:row>3</xdr:row>
      <xdr:rowOff>50800</xdr:rowOff>
    </xdr:to>
    <xdr:sp macro="" textlink="$B$4">
      <xdr:nvSpPr>
        <xdr:cNvPr id="6" name="TextBox 5">
          <a:extLst>
            <a:ext uri="{FF2B5EF4-FFF2-40B4-BE49-F238E27FC236}">
              <a16:creationId xmlns:a16="http://schemas.microsoft.com/office/drawing/2014/main" id="{949F1866-5D35-5F7A-CFA0-6594C14E2096}"/>
            </a:ext>
          </a:extLst>
        </xdr:cNvPr>
        <xdr:cNvSpPr txBox="1"/>
      </xdr:nvSpPr>
      <xdr:spPr>
        <a:xfrm>
          <a:off x="1250950" y="361950"/>
          <a:ext cx="609600" cy="241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FF7567CE-3812-4F76-8277-64DFD18D621F}" type="TxLink">
            <a:rPr lang="en-US" sz="1100" b="1" i="0" u="none" strike="noStrike">
              <a:solidFill>
                <a:schemeClr val="bg1"/>
              </a:solidFill>
              <a:latin typeface="Aptos Narrow"/>
            </a:rPr>
            <a:pPr algn="ctr"/>
            <a:t>10</a:t>
          </a:fld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1079500</xdr:colOff>
      <xdr:row>0</xdr:row>
      <xdr:rowOff>38100</xdr:rowOff>
    </xdr:from>
    <xdr:to>
      <xdr:col>3</xdr:col>
      <xdr:colOff>482600</xdr:colOff>
      <xdr:row>3</xdr:row>
      <xdr:rowOff>171450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F239789A-3F1B-3FE1-7D74-C249FB7C15CA}"/>
            </a:ext>
          </a:extLst>
        </xdr:cNvPr>
        <xdr:cNvSpPr/>
      </xdr:nvSpPr>
      <xdr:spPr>
        <a:xfrm>
          <a:off x="2813050" y="38100"/>
          <a:ext cx="1676400" cy="685800"/>
        </a:xfrm>
        <a:prstGeom prst="roundRect">
          <a:avLst/>
        </a:prstGeom>
        <a:ln>
          <a:noFill/>
        </a:ln>
        <a:effectLst>
          <a:glow rad="63500">
            <a:schemeClr val="accent4">
              <a:satMod val="175000"/>
              <a:alpha val="40000"/>
            </a:schemeClr>
          </a:glow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1168400</xdr:colOff>
      <xdr:row>0</xdr:row>
      <xdr:rowOff>50800</xdr:rowOff>
    </xdr:from>
    <xdr:to>
      <xdr:col>3</xdr:col>
      <xdr:colOff>279400</xdr:colOff>
      <xdr:row>1</xdr:row>
      <xdr:rowOff>165100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185C18D2-A413-8CC6-1442-1611ADED0F22}"/>
            </a:ext>
          </a:extLst>
        </xdr:cNvPr>
        <xdr:cNvSpPr txBox="1"/>
      </xdr:nvSpPr>
      <xdr:spPr>
        <a:xfrm>
          <a:off x="2901950" y="50800"/>
          <a:ext cx="1384300" cy="298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>
              <a:solidFill>
                <a:schemeClr val="bg1"/>
              </a:solidFill>
            </a:rPr>
            <a:t>Total </a:t>
          </a:r>
          <a:r>
            <a:rPr lang="en-US" sz="1100" b="1" baseline="0">
              <a:solidFill>
                <a:schemeClr val="bg1"/>
              </a:solidFill>
            </a:rPr>
            <a:t> Payment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711200</xdr:colOff>
      <xdr:row>0</xdr:row>
      <xdr:rowOff>50800</xdr:rowOff>
    </xdr:from>
    <xdr:to>
      <xdr:col>7</xdr:col>
      <xdr:colOff>0</xdr:colOff>
      <xdr:row>3</xdr:row>
      <xdr:rowOff>171450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A09C5CEE-32DC-B9A7-F836-555F08AABD54}"/>
            </a:ext>
          </a:extLst>
        </xdr:cNvPr>
        <xdr:cNvSpPr/>
      </xdr:nvSpPr>
      <xdr:spPr>
        <a:xfrm>
          <a:off x="4718050" y="50800"/>
          <a:ext cx="4159250" cy="673100"/>
        </a:xfrm>
        <a:prstGeom prst="roundRect">
          <a:avLst/>
        </a:prstGeom>
        <a:ln>
          <a:noFill/>
        </a:ln>
        <a:effectLst>
          <a:glow rad="63500">
            <a:schemeClr val="accent4">
              <a:satMod val="175000"/>
              <a:alpha val="40000"/>
            </a:schemeClr>
          </a:glow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679450</xdr:colOff>
      <xdr:row>0</xdr:row>
      <xdr:rowOff>50800</xdr:rowOff>
    </xdr:from>
    <xdr:to>
      <xdr:col>5</xdr:col>
      <xdr:colOff>1314450</xdr:colOff>
      <xdr:row>1</xdr:row>
      <xdr:rowOff>95250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397F386F-86F5-0979-0CB0-EFF0ED2C3FA9}"/>
            </a:ext>
          </a:extLst>
        </xdr:cNvPr>
        <xdr:cNvSpPr txBox="1"/>
      </xdr:nvSpPr>
      <xdr:spPr>
        <a:xfrm>
          <a:off x="5905500" y="50800"/>
          <a:ext cx="17907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>
              <a:solidFill>
                <a:schemeClr val="bg1"/>
              </a:solidFill>
            </a:rPr>
            <a:t>Employee</a:t>
          </a:r>
          <a:r>
            <a:rPr lang="en-US" sz="1100" b="1" baseline="0">
              <a:solidFill>
                <a:schemeClr val="bg1"/>
              </a:solidFill>
            </a:rPr>
            <a:t> </a:t>
          </a:r>
          <a:r>
            <a:rPr lang="en-US" sz="1100" b="1">
              <a:solidFill>
                <a:schemeClr val="bg1"/>
              </a:solidFill>
            </a:rPr>
            <a:t>Origin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641350</xdr:colOff>
      <xdr:row>1</xdr:row>
      <xdr:rowOff>114300</xdr:rowOff>
    </xdr:from>
    <xdr:to>
      <xdr:col>4</xdr:col>
      <xdr:colOff>247650</xdr:colOff>
      <xdr:row>2</xdr:row>
      <xdr:rowOff>139700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347493DA-AF18-6AEF-3C31-D1C39D964654}"/>
            </a:ext>
          </a:extLst>
        </xdr:cNvPr>
        <xdr:cNvSpPr txBox="1"/>
      </xdr:nvSpPr>
      <xdr:spPr>
        <a:xfrm>
          <a:off x="4648200" y="298450"/>
          <a:ext cx="82550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>
              <a:solidFill>
                <a:schemeClr val="bg1"/>
              </a:solidFill>
            </a:rPr>
            <a:t>Rwandan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146050</xdr:colOff>
      <xdr:row>1</xdr:row>
      <xdr:rowOff>127000</xdr:rowOff>
    </xdr:from>
    <xdr:to>
      <xdr:col>4</xdr:col>
      <xdr:colOff>736600</xdr:colOff>
      <xdr:row>3</xdr:row>
      <xdr:rowOff>95250</xdr:rowOff>
    </xdr:to>
    <xdr:sp macro="" textlink="$I$1">
      <xdr:nvSpPr>
        <xdr:cNvPr id="12" name="TextBox 11">
          <a:extLst>
            <a:ext uri="{FF2B5EF4-FFF2-40B4-BE49-F238E27FC236}">
              <a16:creationId xmlns:a16="http://schemas.microsoft.com/office/drawing/2014/main" id="{C5819F81-C726-6A3C-3379-79F0492943F5}"/>
            </a:ext>
          </a:extLst>
        </xdr:cNvPr>
        <xdr:cNvSpPr txBox="1"/>
      </xdr:nvSpPr>
      <xdr:spPr>
        <a:xfrm>
          <a:off x="5372100" y="311150"/>
          <a:ext cx="590550" cy="336550"/>
        </a:xfrm>
        <a:prstGeom prst="rect">
          <a:avLst/>
        </a:prstGeom>
        <a:noFill/>
        <a:ln w="9525" cmpd="sng">
          <a:solidFill>
            <a:schemeClr val="accent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AB98B2F-11CB-4D97-99A8-21CE9423B362}" type="TxLink">
            <a:rPr lang="en-US" sz="1100" b="0" i="0" u="none" strike="noStrike">
              <a:solidFill>
                <a:schemeClr val="bg1"/>
              </a:solidFill>
              <a:latin typeface="Aptos Narrow"/>
            </a:rPr>
            <a:t>6</a:t>
          </a:fld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641350</xdr:colOff>
      <xdr:row>1</xdr:row>
      <xdr:rowOff>152400</xdr:rowOff>
    </xdr:from>
    <xdr:to>
      <xdr:col>5</xdr:col>
      <xdr:colOff>292100</xdr:colOff>
      <xdr:row>2</xdr:row>
      <xdr:rowOff>177800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E671F8B6-1CBE-4DE6-2D90-7D54726336AF}"/>
            </a:ext>
          </a:extLst>
        </xdr:cNvPr>
        <xdr:cNvSpPr txBox="1"/>
      </xdr:nvSpPr>
      <xdr:spPr>
        <a:xfrm>
          <a:off x="5867400" y="336550"/>
          <a:ext cx="8064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>
              <a:solidFill>
                <a:schemeClr val="bg1"/>
              </a:solidFill>
            </a:rPr>
            <a:t>Refugees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190500</xdr:colOff>
      <xdr:row>1</xdr:row>
      <xdr:rowOff>165100</xdr:rowOff>
    </xdr:from>
    <xdr:to>
      <xdr:col>5</xdr:col>
      <xdr:colOff>736600</xdr:colOff>
      <xdr:row>3</xdr:row>
      <xdr:rowOff>95250</xdr:rowOff>
    </xdr:to>
    <xdr:sp macro="" textlink="$I$2">
      <xdr:nvSpPr>
        <xdr:cNvPr id="14" name="TextBox 13">
          <a:extLst>
            <a:ext uri="{FF2B5EF4-FFF2-40B4-BE49-F238E27FC236}">
              <a16:creationId xmlns:a16="http://schemas.microsoft.com/office/drawing/2014/main" id="{02A7FEA6-18A4-0E93-FA2A-42AB9BFE9DCE}"/>
            </a:ext>
          </a:extLst>
        </xdr:cNvPr>
        <xdr:cNvSpPr txBox="1"/>
      </xdr:nvSpPr>
      <xdr:spPr>
        <a:xfrm>
          <a:off x="6572250" y="349250"/>
          <a:ext cx="546100" cy="298450"/>
        </a:xfrm>
        <a:prstGeom prst="rect">
          <a:avLst/>
        </a:prstGeom>
        <a:noFill/>
        <a:ln w="9525" cmpd="sng">
          <a:solidFill>
            <a:schemeClr val="accent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115C595-A3E3-4A74-AEC5-5B6AAE74F978}" type="TxLink">
            <a:rPr lang="en-US" sz="1100" b="0" i="0" u="none" strike="noStrike">
              <a:solidFill>
                <a:schemeClr val="bg1"/>
              </a:solidFill>
              <a:latin typeface="Aptos Narrow"/>
            </a:rPr>
            <a:t>2</a:t>
          </a:fld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647700</xdr:colOff>
      <xdr:row>1</xdr:row>
      <xdr:rowOff>127000</xdr:rowOff>
    </xdr:from>
    <xdr:to>
      <xdr:col>6</xdr:col>
      <xdr:colOff>247650</xdr:colOff>
      <xdr:row>3</xdr:row>
      <xdr:rowOff>19050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DCF8EED2-8B38-3085-68DE-50BD5E745FB3}"/>
            </a:ext>
          </a:extLst>
        </xdr:cNvPr>
        <xdr:cNvSpPr txBox="1"/>
      </xdr:nvSpPr>
      <xdr:spPr>
        <a:xfrm>
          <a:off x="7029450" y="311150"/>
          <a:ext cx="1111250" cy="260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>
              <a:solidFill>
                <a:schemeClr val="bg1"/>
              </a:solidFill>
            </a:rPr>
            <a:t>Internationals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177800</xdr:colOff>
      <xdr:row>1</xdr:row>
      <xdr:rowOff>158750</xdr:rowOff>
    </xdr:from>
    <xdr:to>
      <xdr:col>6</xdr:col>
      <xdr:colOff>806450</xdr:colOff>
      <xdr:row>3</xdr:row>
      <xdr:rowOff>69850</xdr:rowOff>
    </xdr:to>
    <xdr:sp macro="" textlink="$I$3">
      <xdr:nvSpPr>
        <xdr:cNvPr id="16" name="TextBox 15">
          <a:extLst>
            <a:ext uri="{FF2B5EF4-FFF2-40B4-BE49-F238E27FC236}">
              <a16:creationId xmlns:a16="http://schemas.microsoft.com/office/drawing/2014/main" id="{7EDF5958-1CB5-C0CC-2312-5BC66F0990BB}"/>
            </a:ext>
          </a:extLst>
        </xdr:cNvPr>
        <xdr:cNvSpPr txBox="1"/>
      </xdr:nvSpPr>
      <xdr:spPr>
        <a:xfrm>
          <a:off x="8070850" y="342900"/>
          <a:ext cx="628650" cy="279400"/>
        </a:xfrm>
        <a:prstGeom prst="rect">
          <a:avLst/>
        </a:prstGeom>
        <a:noFill/>
        <a:ln w="9525" cmpd="sng">
          <a:solidFill>
            <a:schemeClr val="accent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8E252CF-0BD7-4D75-8B6D-ADE4148C36E4}" type="TxLink">
            <a:rPr lang="en-US" sz="1100" b="0" i="0" u="none" strike="noStrike">
              <a:solidFill>
                <a:schemeClr val="bg1"/>
              </a:solidFill>
              <a:latin typeface="Aptos Narrow"/>
            </a:rPr>
            <a:t>2</a:t>
          </a:fld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1409700</xdr:colOff>
      <xdr:row>1</xdr:row>
      <xdr:rowOff>146050</xdr:rowOff>
    </xdr:from>
    <xdr:to>
      <xdr:col>3</xdr:col>
      <xdr:colOff>444500</xdr:colOff>
      <xdr:row>3</xdr:row>
      <xdr:rowOff>165100</xdr:rowOff>
    </xdr:to>
    <xdr:sp macro="" textlink="$C$4">
      <xdr:nvSpPr>
        <xdr:cNvPr id="17" name="TextBox 16">
          <a:extLst>
            <a:ext uri="{FF2B5EF4-FFF2-40B4-BE49-F238E27FC236}">
              <a16:creationId xmlns:a16="http://schemas.microsoft.com/office/drawing/2014/main" id="{F9930530-6F49-885A-60B6-C4D814884020}"/>
            </a:ext>
          </a:extLst>
        </xdr:cNvPr>
        <xdr:cNvSpPr txBox="1"/>
      </xdr:nvSpPr>
      <xdr:spPr>
        <a:xfrm>
          <a:off x="3143250" y="330200"/>
          <a:ext cx="1308100" cy="387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9F6F8CAF-C434-4368-8433-34803F5DA9AA}" type="TxLink">
            <a:rPr lang="en-US" sz="1100" b="0" i="0" u="none" strike="noStrike">
              <a:solidFill>
                <a:schemeClr val="bg1"/>
              </a:solidFill>
              <a:latin typeface="Aptos Narrow"/>
            </a:rPr>
            <a:t>680,000</a:t>
          </a:fld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1079500</xdr:colOff>
      <xdr:row>1</xdr:row>
      <xdr:rowOff>158750</xdr:rowOff>
    </xdr:from>
    <xdr:to>
      <xdr:col>2</xdr:col>
      <xdr:colOff>1524000</xdr:colOff>
      <xdr:row>2</xdr:row>
      <xdr:rowOff>165100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D9E994CE-0127-CFCD-ED88-C10F425F1D20}"/>
            </a:ext>
          </a:extLst>
        </xdr:cNvPr>
        <xdr:cNvSpPr txBox="1"/>
      </xdr:nvSpPr>
      <xdr:spPr>
        <a:xfrm>
          <a:off x="2813050" y="342900"/>
          <a:ext cx="44450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0" i="0" u="none" strike="noStrike">
              <a:solidFill>
                <a:schemeClr val="bg1"/>
              </a:solidFill>
              <a:latin typeface="Aptos Narrow"/>
            </a:rPr>
            <a:t>RWF</a:t>
          </a:r>
        </a:p>
      </xdr:txBody>
    </xdr:sp>
    <xdr:clientData/>
  </xdr:twoCellAnchor>
  <xdr:twoCellAnchor>
    <xdr:from>
      <xdr:col>1</xdr:col>
      <xdr:colOff>76200</xdr:colOff>
      <xdr:row>4</xdr:row>
      <xdr:rowOff>82550</xdr:rowOff>
    </xdr:from>
    <xdr:to>
      <xdr:col>3</xdr:col>
      <xdr:colOff>69850</xdr:colOff>
      <xdr:row>13</xdr:row>
      <xdr:rowOff>88900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ACB9F8D2-FCFB-6D3C-580D-2BE09A7BB7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200024</xdr:colOff>
      <xdr:row>4</xdr:row>
      <xdr:rowOff>63500</xdr:rowOff>
    </xdr:from>
    <xdr:to>
      <xdr:col>10</xdr:col>
      <xdr:colOff>12700</xdr:colOff>
      <xdr:row>13</xdr:row>
      <xdr:rowOff>63500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0" name="Chart 19">
              <a:extLst>
                <a:ext uri="{FF2B5EF4-FFF2-40B4-BE49-F238E27FC236}">
                  <a16:creationId xmlns:a16="http://schemas.microsoft.com/office/drawing/2014/main" id="{E1464627-9D01-1A23-AD7A-ABF774F2C33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06874" y="800100"/>
              <a:ext cx="7350126" cy="1657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7</xdr:col>
      <xdr:colOff>114300</xdr:colOff>
      <xdr:row>0</xdr:row>
      <xdr:rowOff>63500</xdr:rowOff>
    </xdr:from>
    <xdr:to>
      <xdr:col>10</xdr:col>
      <xdr:colOff>6350</xdr:colOff>
      <xdr:row>3</xdr:row>
      <xdr:rowOff>133350</xdr:rowOff>
    </xdr:to>
    <xdr:sp macro="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5D6D6E53-F522-3A5A-4522-7566D009CDD1}"/>
            </a:ext>
          </a:extLst>
        </xdr:cNvPr>
        <xdr:cNvSpPr/>
      </xdr:nvSpPr>
      <xdr:spPr>
        <a:xfrm>
          <a:off x="8991600" y="63500"/>
          <a:ext cx="2559050" cy="622300"/>
        </a:xfrm>
        <a:prstGeom prst="roundRect">
          <a:avLst/>
        </a:prstGeom>
        <a:ln>
          <a:noFill/>
        </a:ln>
        <a:effectLst>
          <a:glow rad="63500">
            <a:schemeClr val="accent4">
              <a:satMod val="175000"/>
              <a:alpha val="40000"/>
            </a:schemeClr>
          </a:glow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336550</xdr:colOff>
      <xdr:row>1</xdr:row>
      <xdr:rowOff>25400</xdr:rowOff>
    </xdr:from>
    <xdr:to>
      <xdr:col>9</xdr:col>
      <xdr:colOff>793750</xdr:colOff>
      <xdr:row>3</xdr:row>
      <xdr:rowOff>25400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BAA0C717-26EC-34B6-83DB-71B87F714E00}"/>
            </a:ext>
          </a:extLst>
        </xdr:cNvPr>
        <xdr:cNvSpPr txBox="1"/>
      </xdr:nvSpPr>
      <xdr:spPr>
        <a:xfrm>
          <a:off x="9213850" y="209550"/>
          <a:ext cx="2273300" cy="368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 b="1" baseline="0">
              <a:solidFill>
                <a:schemeClr val="accent1">
                  <a:lumMod val="40000"/>
                  <a:lumOff val="60000"/>
                </a:schemeClr>
              </a:solidFill>
            </a:rPr>
            <a:t>Min-HR Dashboard</a:t>
          </a:r>
          <a:endParaRPr lang="en-US" sz="2000" b="1">
            <a:solidFill>
              <a:schemeClr val="accent1">
                <a:lumMod val="40000"/>
                <a:lumOff val="60000"/>
              </a:schemeClr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EEB61E2-0B69-469F-9598-D2615C4FD5B3}" name="Table1" displayName="Table1" ref="B15:J25" totalsRowShown="0" headerRowDxfId="2" tableBorderDxfId="3">
  <autoFilter ref="B15:J25" xr:uid="{1A68AA4A-699A-4269-AA0B-BB088383E1CC}"/>
  <tableColumns count="9">
    <tableColumn id="1" xr3:uid="{203B61DB-7BC7-4FCA-8F9C-D23CC2D6EB9F}" name="First Name"/>
    <tableColumn id="2" xr3:uid="{09C18E48-EBFC-440F-AE96-3E04DF950D37}" name="Last Name"/>
    <tableColumn id="3" xr3:uid="{5A2E0335-EA9B-4233-B5E3-F08FEA6CD669}" name="Email"/>
    <tableColumn id="4" xr3:uid="{C0C64971-12E0-42F8-8417-F2E54ECE4337}" name="Phone No"/>
    <tableColumn id="5" xr3:uid="{DF7C74E4-6D19-4293-90B8-2CAC0E9869A3}" name="NID" dataDxfId="0"/>
    <tableColumn id="6" xr3:uid="{9B448ECD-4109-41F1-A8E9-6CBB7BCEFBFA}" name="Net Pay" dataDxfId="1"/>
    <tableColumn id="7" xr3:uid="{E204F7CB-B0D9-4949-87D0-B46553A07F5E}" name="Country"/>
    <tableColumn id="8" xr3:uid="{30FC621C-C322-4A79-BAC9-D903515CBB52}" name="Province"/>
    <tableColumn id="9" xr3:uid="{6CEE3DA7-D1CD-4409-A1A3-154156BC5058}" name="Distric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31DBF-3F01-4DAA-8ED1-226F585E64DF}">
  <sheetPr codeName="Sheet1"/>
  <dimension ref="C1:O32"/>
  <sheetViews>
    <sheetView showGridLines="0" workbookViewId="0">
      <selection activeCell="P7" sqref="P7"/>
    </sheetView>
  </sheetViews>
  <sheetFormatPr defaultRowHeight="14.5" x14ac:dyDescent="0.35"/>
  <cols>
    <col min="6" max="6" width="19.54296875" bestFit="1" customWidth="1"/>
  </cols>
  <sheetData>
    <row r="1" spans="3:15" ht="15" thickBot="1" x14ac:dyDescent="0.4"/>
    <row r="2" spans="3:15" ht="24" thickBot="1" x14ac:dyDescent="0.6">
      <c r="C2" s="1"/>
      <c r="D2" s="2"/>
      <c r="E2" s="11" t="s">
        <v>20</v>
      </c>
      <c r="F2" s="12"/>
      <c r="G2" s="12"/>
      <c r="H2" s="12"/>
      <c r="I2" s="12"/>
      <c r="J2" s="12"/>
      <c r="K2" s="13"/>
      <c r="L2" s="2"/>
      <c r="M2" s="3"/>
    </row>
    <row r="3" spans="3:15" ht="15" thickBot="1" x14ac:dyDescent="0.4">
      <c r="C3" s="4"/>
      <c r="D3" s="5"/>
      <c r="E3" s="6"/>
      <c r="F3" s="6"/>
      <c r="G3" s="6"/>
      <c r="H3" s="6"/>
      <c r="I3" s="6"/>
      <c r="J3" s="6"/>
      <c r="K3" s="6"/>
      <c r="L3" s="5"/>
      <c r="M3" s="7"/>
    </row>
    <row r="4" spans="3:15" ht="15" thickBot="1" x14ac:dyDescent="0.4">
      <c r="C4" s="4"/>
      <c r="D4" s="14" t="s">
        <v>0</v>
      </c>
      <c r="E4" s="15"/>
      <c r="F4" s="22"/>
      <c r="G4" s="23"/>
      <c r="H4" s="24"/>
      <c r="I4" s="5"/>
      <c r="J4" s="16" t="s">
        <v>19</v>
      </c>
      <c r="K4" s="28"/>
      <c r="L4" s="29"/>
      <c r="M4" s="7"/>
    </row>
    <row r="5" spans="3:15" ht="15" thickBot="1" x14ac:dyDescent="0.4">
      <c r="C5" s="4"/>
      <c r="D5" s="5"/>
      <c r="E5" s="5"/>
      <c r="F5" s="5"/>
      <c r="G5" s="5"/>
      <c r="H5" s="5"/>
      <c r="I5" s="5"/>
      <c r="J5" s="5"/>
      <c r="K5" s="5"/>
      <c r="L5" s="5"/>
      <c r="M5" s="7"/>
    </row>
    <row r="6" spans="3:15" ht="19" thickBot="1" x14ac:dyDescent="0.5">
      <c r="C6" s="4"/>
      <c r="D6" s="14" t="s">
        <v>1</v>
      </c>
      <c r="E6" s="15"/>
      <c r="F6" s="22"/>
      <c r="G6" s="23"/>
      <c r="H6" s="24"/>
      <c r="I6" s="5"/>
      <c r="J6" s="17" t="s">
        <v>6</v>
      </c>
      <c r="K6" s="17"/>
      <c r="L6" s="17"/>
      <c r="M6" s="7"/>
    </row>
    <row r="7" spans="3:15" ht="15" thickBot="1" x14ac:dyDescent="0.4">
      <c r="C7" s="4"/>
      <c r="D7" s="5"/>
      <c r="E7" s="5"/>
      <c r="F7" s="5"/>
      <c r="G7" s="5"/>
      <c r="H7" s="5"/>
      <c r="I7" s="5"/>
      <c r="J7" s="5"/>
      <c r="K7" s="5"/>
      <c r="L7" s="5"/>
      <c r="M7" s="7"/>
      <c r="O7" s="18"/>
    </row>
    <row r="8" spans="3:15" ht="15" thickBot="1" x14ac:dyDescent="0.4">
      <c r="C8" s="4"/>
      <c r="D8" s="14" t="s">
        <v>2</v>
      </c>
      <c r="E8" s="15"/>
      <c r="F8" s="31"/>
      <c r="G8" s="23"/>
      <c r="H8" s="24"/>
      <c r="I8" s="5"/>
      <c r="J8" s="16" t="s">
        <v>7</v>
      </c>
      <c r="K8" s="28"/>
      <c r="L8" s="29"/>
      <c r="M8" s="7"/>
    </row>
    <row r="9" spans="3:15" ht="15" thickBot="1" x14ac:dyDescent="0.4">
      <c r="C9" s="4"/>
      <c r="D9" s="5"/>
      <c r="E9" s="5"/>
      <c r="F9" s="5"/>
      <c r="G9" s="5"/>
      <c r="H9" s="5"/>
      <c r="I9" s="5"/>
      <c r="J9" s="5"/>
      <c r="K9" s="5"/>
      <c r="L9" s="5"/>
      <c r="M9" s="7"/>
    </row>
    <row r="10" spans="3:15" ht="15" thickBot="1" x14ac:dyDescent="0.4">
      <c r="C10" s="4"/>
      <c r="D10" s="14" t="s">
        <v>3</v>
      </c>
      <c r="E10" s="15"/>
      <c r="F10" s="25"/>
      <c r="G10" s="26"/>
      <c r="H10" s="27"/>
      <c r="I10" s="5"/>
      <c r="J10" s="16" t="s">
        <v>8</v>
      </c>
      <c r="K10" s="28"/>
      <c r="L10" s="29"/>
      <c r="M10" s="7"/>
    </row>
    <row r="11" spans="3:15" ht="15" thickBot="1" x14ac:dyDescent="0.4">
      <c r="C11" s="4"/>
      <c r="D11" s="5"/>
      <c r="E11" s="5"/>
      <c r="F11" s="5"/>
      <c r="G11" s="5"/>
      <c r="H11" s="5"/>
      <c r="I11" s="5"/>
      <c r="J11" s="5"/>
      <c r="K11" s="5"/>
      <c r="L11" s="5"/>
      <c r="M11" s="7"/>
    </row>
    <row r="12" spans="3:15" ht="15" thickBot="1" x14ac:dyDescent="0.4">
      <c r="C12" s="4"/>
      <c r="D12" s="14" t="s">
        <v>4</v>
      </c>
      <c r="E12" s="15"/>
      <c r="F12" s="25"/>
      <c r="G12" s="26"/>
      <c r="H12" s="27"/>
      <c r="I12" s="5"/>
      <c r="J12" s="16" t="s">
        <v>9</v>
      </c>
      <c r="K12" s="28"/>
      <c r="L12" s="29"/>
      <c r="M12" s="7"/>
    </row>
    <row r="13" spans="3:15" x14ac:dyDescent="0.35">
      <c r="C13" s="4"/>
      <c r="D13" s="5"/>
      <c r="E13" s="5"/>
      <c r="F13" s="5"/>
      <c r="G13" s="5"/>
      <c r="H13" s="5"/>
      <c r="I13" s="5"/>
      <c r="J13" s="5"/>
      <c r="K13" s="5"/>
      <c r="L13" s="5"/>
      <c r="M13" s="7"/>
    </row>
    <row r="14" spans="3:15" x14ac:dyDescent="0.35">
      <c r="C14" s="4"/>
      <c r="D14" s="5"/>
      <c r="E14" s="5"/>
      <c r="F14" s="5"/>
      <c r="G14" s="5"/>
      <c r="H14" s="5"/>
      <c r="I14" s="5"/>
      <c r="J14" s="5"/>
      <c r="K14" s="5"/>
      <c r="L14" s="5"/>
      <c r="M14" s="7"/>
    </row>
    <row r="15" spans="3:15" x14ac:dyDescent="0.35">
      <c r="C15" s="4"/>
      <c r="D15" s="5"/>
      <c r="E15" s="5"/>
      <c r="F15" s="5"/>
      <c r="G15" s="5"/>
      <c r="H15" s="5"/>
      <c r="I15" s="5"/>
      <c r="J15" s="5"/>
      <c r="K15" s="5"/>
      <c r="L15" s="5"/>
      <c r="M15" s="7"/>
      <c r="O15" t="s">
        <v>59</v>
      </c>
    </row>
    <row r="16" spans="3:15" x14ac:dyDescent="0.35">
      <c r="C16" s="4"/>
      <c r="D16" s="5"/>
      <c r="E16" s="5"/>
      <c r="F16" s="5"/>
      <c r="G16" s="5"/>
      <c r="H16" s="5"/>
      <c r="I16" s="5"/>
      <c r="J16" s="5"/>
      <c r="K16" s="5"/>
      <c r="L16" s="5"/>
      <c r="M16" s="7"/>
      <c r="N16" t="s">
        <v>60</v>
      </c>
    </row>
    <row r="17" spans="3:13" x14ac:dyDescent="0.35">
      <c r="C17" s="4"/>
      <c r="D17" s="5"/>
      <c r="E17" s="5"/>
      <c r="F17" s="5"/>
      <c r="G17" s="5"/>
      <c r="H17" s="5"/>
      <c r="I17" s="5"/>
      <c r="J17" s="5"/>
      <c r="K17" s="5"/>
      <c r="L17" s="5"/>
      <c r="M17" s="7"/>
    </row>
    <row r="18" spans="3:13" ht="15" thickBot="1" x14ac:dyDescent="0.4">
      <c r="C18" s="8"/>
      <c r="D18" s="9"/>
      <c r="E18" s="9"/>
      <c r="F18" s="9"/>
      <c r="G18" s="9"/>
      <c r="H18" s="9"/>
      <c r="I18" s="9"/>
      <c r="J18" s="9"/>
      <c r="K18" s="9"/>
      <c r="L18" s="9"/>
      <c r="M18" s="10"/>
    </row>
    <row r="22" spans="3:13" x14ac:dyDescent="0.35">
      <c r="D22" s="32" t="s">
        <v>0</v>
      </c>
      <c r="E22" s="32"/>
      <c r="F22" s="32">
        <f>F4</f>
        <v>0</v>
      </c>
    </row>
    <row r="23" spans="3:13" x14ac:dyDescent="0.35">
      <c r="D23" s="32" t="s">
        <v>1</v>
      </c>
      <c r="E23" s="32"/>
      <c r="F23" s="32">
        <f>F6</f>
        <v>0</v>
      </c>
    </row>
    <row r="24" spans="3:13" x14ac:dyDescent="0.35">
      <c r="D24" s="32" t="s">
        <v>2</v>
      </c>
      <c r="E24" s="32"/>
      <c r="F24" s="32">
        <f>F8</f>
        <v>0</v>
      </c>
    </row>
    <row r="25" spans="3:13" x14ac:dyDescent="0.35">
      <c r="D25" s="32" t="s">
        <v>3</v>
      </c>
      <c r="E25" s="32"/>
      <c r="F25" s="34">
        <f>F10</f>
        <v>0</v>
      </c>
    </row>
    <row r="26" spans="3:13" x14ac:dyDescent="0.35">
      <c r="D26" s="32" t="s">
        <v>4</v>
      </c>
      <c r="E26" s="32"/>
      <c r="F26" s="34">
        <f>F12</f>
        <v>0</v>
      </c>
    </row>
    <row r="27" spans="3:13" x14ac:dyDescent="0.35">
      <c r="D27" s="32" t="s">
        <v>5</v>
      </c>
      <c r="E27" s="32"/>
      <c r="F27" s="32">
        <f>K4</f>
        <v>0</v>
      </c>
    </row>
    <row r="28" spans="3:13" x14ac:dyDescent="0.35">
      <c r="D28" s="32" t="s">
        <v>7</v>
      </c>
      <c r="E28" s="32"/>
      <c r="F28" s="32">
        <f>K8</f>
        <v>0</v>
      </c>
    </row>
    <row r="29" spans="3:13" x14ac:dyDescent="0.35">
      <c r="D29" s="32" t="s">
        <v>8</v>
      </c>
      <c r="E29" s="32"/>
      <c r="F29" s="32">
        <f>K10</f>
        <v>0</v>
      </c>
    </row>
    <row r="30" spans="3:13" x14ac:dyDescent="0.35">
      <c r="D30" s="32" t="s">
        <v>9</v>
      </c>
      <c r="E30" s="32"/>
      <c r="F30" s="32">
        <f>K12</f>
        <v>0</v>
      </c>
    </row>
    <row r="31" spans="3:13" x14ac:dyDescent="0.35">
      <c r="D31" s="32"/>
      <c r="E31" s="32"/>
      <c r="F31" s="32"/>
    </row>
    <row r="32" spans="3:13" x14ac:dyDescent="0.35">
      <c r="D32" s="32"/>
      <c r="E32" s="32"/>
      <c r="F32" s="32"/>
    </row>
  </sheetData>
  <sheetProtection algorithmName="SHA-512" hashValue="0ULkQH8jsTSmvimG8J3nefertGS4bZvls1QtghD4Z6MJpi9T9UfHm0SEG7WnK/4Sth+Em4LlcMKa34UcPg6yww==" saltValue="ddnkaXXOQXUbUPuWMJ7rrA==" spinCount="100000" sheet="1" objects="1" scenarios="1"/>
  <mergeCells count="16">
    <mergeCell ref="F12:H12"/>
    <mergeCell ref="F10:H10"/>
    <mergeCell ref="F8:H8"/>
    <mergeCell ref="F6:H6"/>
    <mergeCell ref="F4:H4"/>
    <mergeCell ref="J6:L6"/>
    <mergeCell ref="K12:L12"/>
    <mergeCell ref="K10:L10"/>
    <mergeCell ref="K8:L8"/>
    <mergeCell ref="K4:L4"/>
    <mergeCell ref="E2:K2"/>
    <mergeCell ref="D12:E12"/>
    <mergeCell ref="D10:E10"/>
    <mergeCell ref="D8:E8"/>
    <mergeCell ref="D6:E6"/>
    <mergeCell ref="D4:E4"/>
  </mergeCells>
  <dataValidations count="3">
    <dataValidation type="list" allowBlank="1" showInputMessage="1" showErrorMessage="1" sqref="K8:L8" xr:uid="{7BE31A48-C184-47D6-B585-981ED26006EF}">
      <formula1>"Rwanda, International, Refugee "</formula1>
    </dataValidation>
    <dataValidation type="list" allowBlank="1" showInputMessage="1" showErrorMessage="1" sqref="K10:L10" xr:uid="{DA33527F-B4E4-4F67-A87E-498B4FC60220}">
      <formula1>"Western Province, Eastern Province, Kigali City, Northern Province, Southern Province, N/A (non-Rwanda)"</formula1>
    </dataValidation>
    <dataValidation type="whole" errorStyle="information" operator="equal" allowBlank="1" showInputMessage="1" showErrorMessage="1" errorTitle="NID Input" error="Please NID, must contain 16 digits" sqref="F12:H12" xr:uid="{82FE0B00-EA15-4595-8C09-591F84573945}">
      <formula1>16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8AA4A-699A-4269-AA0B-BB088383E1CC}">
  <sheetPr codeName="Sheet2"/>
  <dimension ref="B1:J25"/>
  <sheetViews>
    <sheetView showGridLines="0" tabSelected="1" topLeftCell="B1" workbookViewId="0">
      <selection activeCell="K4" sqref="K4"/>
    </sheetView>
  </sheetViews>
  <sheetFormatPr defaultRowHeight="14.5" x14ac:dyDescent="0.35"/>
  <cols>
    <col min="2" max="2" width="16.08984375" customWidth="1"/>
    <col min="3" max="3" width="32.54296875" customWidth="1"/>
    <col min="4" max="4" width="17.453125" customWidth="1"/>
    <col min="5" max="5" width="16.54296875" customWidth="1"/>
    <col min="6" max="6" width="21.6328125" style="18" customWidth="1"/>
    <col min="7" max="7" width="14.08984375" style="18" customWidth="1"/>
    <col min="8" max="8" width="11.7265625" customWidth="1"/>
    <col min="9" max="9" width="14.26953125" customWidth="1"/>
    <col min="10" max="10" width="12.1796875" customWidth="1"/>
  </cols>
  <sheetData>
    <row r="1" spans="2:10" x14ac:dyDescent="0.35">
      <c r="H1" s="32" t="s">
        <v>12</v>
      </c>
      <c r="I1" s="32">
        <f>COUNTIF(Table1[Country],H22)</f>
        <v>6</v>
      </c>
    </row>
    <row r="2" spans="2:10" x14ac:dyDescent="0.35">
      <c r="H2" s="32" t="s">
        <v>45</v>
      </c>
      <c r="I2" s="32">
        <f>COUNTIF(Table1[Country],H23)</f>
        <v>2</v>
      </c>
    </row>
    <row r="3" spans="2:10" x14ac:dyDescent="0.35">
      <c r="H3" s="32" t="s">
        <v>46</v>
      </c>
      <c r="I3" s="32">
        <f>COUNTIF(Table1[Country],H24)</f>
        <v>2</v>
      </c>
    </row>
    <row r="4" spans="2:10" x14ac:dyDescent="0.35">
      <c r="B4">
        <f>COUNTA(Table1[First Name])</f>
        <v>10</v>
      </c>
      <c r="C4" s="33">
        <f>SUM(Table1[Net Pay])</f>
        <v>680000</v>
      </c>
    </row>
    <row r="15" spans="2:10" x14ac:dyDescent="0.35">
      <c r="B15" s="20" t="s">
        <v>0</v>
      </c>
      <c r="C15" s="19" t="s">
        <v>1</v>
      </c>
      <c r="D15" s="19" t="s">
        <v>2</v>
      </c>
      <c r="E15" s="19" t="s">
        <v>3</v>
      </c>
      <c r="F15" s="30" t="s">
        <v>4</v>
      </c>
      <c r="G15" s="30" t="s">
        <v>19</v>
      </c>
      <c r="H15" s="19" t="s">
        <v>7</v>
      </c>
      <c r="I15" s="19" t="s">
        <v>8</v>
      </c>
      <c r="J15" s="21" t="s">
        <v>9</v>
      </c>
    </row>
    <row r="16" spans="2:10" x14ac:dyDescent="0.35">
      <c r="B16" t="s">
        <v>55</v>
      </c>
      <c r="C16" t="s">
        <v>56</v>
      </c>
      <c r="D16" t="s">
        <v>57</v>
      </c>
      <c r="E16">
        <v>809797777</v>
      </c>
      <c r="F16">
        <v>1979786866</v>
      </c>
      <c r="G16">
        <v>50000</v>
      </c>
      <c r="H16" t="s">
        <v>11</v>
      </c>
      <c r="I16" t="s">
        <v>30</v>
      </c>
      <c r="J16" t="s">
        <v>58</v>
      </c>
    </row>
    <row r="17" spans="2:10" x14ac:dyDescent="0.35">
      <c r="B17" t="s">
        <v>52</v>
      </c>
      <c r="C17" t="s">
        <v>53</v>
      </c>
      <c r="D17" t="s">
        <v>54</v>
      </c>
      <c r="E17">
        <v>73879797</v>
      </c>
      <c r="F17">
        <v>11080897977</v>
      </c>
      <c r="G17">
        <v>40000</v>
      </c>
      <c r="H17" t="s">
        <v>12</v>
      </c>
      <c r="I17" t="s">
        <v>13</v>
      </c>
      <c r="J17" t="s">
        <v>15</v>
      </c>
    </row>
    <row r="18" spans="2:10" x14ac:dyDescent="0.35">
      <c r="B18" t="s">
        <v>47</v>
      </c>
      <c r="C18" t="s">
        <v>48</v>
      </c>
      <c r="D18" t="s">
        <v>49</v>
      </c>
      <c r="E18">
        <v>7378790</v>
      </c>
      <c r="F18">
        <v>112989979776</v>
      </c>
      <c r="G18">
        <v>70000</v>
      </c>
      <c r="H18" t="s">
        <v>12</v>
      </c>
      <c r="I18" t="s">
        <v>29</v>
      </c>
      <c r="J18" t="s">
        <v>51</v>
      </c>
    </row>
    <row r="19" spans="2:10" x14ac:dyDescent="0.35">
      <c r="B19" t="s">
        <v>47</v>
      </c>
      <c r="C19" t="s">
        <v>48</v>
      </c>
      <c r="D19" t="s">
        <v>49</v>
      </c>
      <c r="E19">
        <v>7308989797</v>
      </c>
      <c r="F19">
        <v>19782003008</v>
      </c>
      <c r="G19">
        <v>300000</v>
      </c>
      <c r="H19" t="s">
        <v>12</v>
      </c>
      <c r="I19" t="s">
        <v>23</v>
      </c>
      <c r="J19" t="s">
        <v>50</v>
      </c>
    </row>
    <row r="20" spans="2:10" x14ac:dyDescent="0.35">
      <c r="B20" t="s">
        <v>41</v>
      </c>
      <c r="C20" t="s">
        <v>42</v>
      </c>
      <c r="D20" t="s">
        <v>43</v>
      </c>
      <c r="E20">
        <v>73288008</v>
      </c>
      <c r="F20" s="18">
        <v>119797988786</v>
      </c>
      <c r="G20">
        <v>10000</v>
      </c>
      <c r="H20" t="s">
        <v>12</v>
      </c>
      <c r="I20" t="s">
        <v>35</v>
      </c>
      <c r="J20" t="s">
        <v>44</v>
      </c>
    </row>
    <row r="21" spans="2:10" x14ac:dyDescent="0.35">
      <c r="B21" t="s">
        <v>37</v>
      </c>
      <c r="C21" t="s">
        <v>38</v>
      </c>
      <c r="D21" t="s">
        <v>39</v>
      </c>
      <c r="E21">
        <v>78229087656</v>
      </c>
      <c r="F21" s="18">
        <v>19782000397979</v>
      </c>
      <c r="G21">
        <v>20000</v>
      </c>
      <c r="H21" t="s">
        <v>12</v>
      </c>
      <c r="I21" t="s">
        <v>13</v>
      </c>
      <c r="J21" t="s">
        <v>40</v>
      </c>
    </row>
    <row r="22" spans="2:10" x14ac:dyDescent="0.35">
      <c r="B22" t="s">
        <v>32</v>
      </c>
      <c r="C22" t="s">
        <v>33</v>
      </c>
      <c r="D22" t="s">
        <v>34</v>
      </c>
      <c r="E22">
        <v>783229876</v>
      </c>
      <c r="F22" s="18">
        <v>1197820899797970</v>
      </c>
      <c r="G22">
        <v>40000</v>
      </c>
      <c r="H22" t="s">
        <v>12</v>
      </c>
      <c r="I22" t="s">
        <v>35</v>
      </c>
      <c r="J22" t="s">
        <v>36</v>
      </c>
    </row>
    <row r="23" spans="2:10" x14ac:dyDescent="0.35">
      <c r="B23" t="s">
        <v>17</v>
      </c>
      <c r="C23" t="s">
        <v>14</v>
      </c>
      <c r="D23" t="s">
        <v>28</v>
      </c>
      <c r="E23">
        <v>734876897</v>
      </c>
      <c r="F23" s="18">
        <v>1288768908</v>
      </c>
      <c r="G23">
        <v>30000</v>
      </c>
      <c r="H23" t="s">
        <v>11</v>
      </c>
      <c r="I23" t="s">
        <v>30</v>
      </c>
      <c r="J23" t="s">
        <v>31</v>
      </c>
    </row>
    <row r="24" spans="2:10" x14ac:dyDescent="0.35">
      <c r="B24" t="s">
        <v>18</v>
      </c>
      <c r="C24" t="s">
        <v>25</v>
      </c>
      <c r="D24" t="s">
        <v>26</v>
      </c>
      <c r="E24">
        <v>783442296</v>
      </c>
      <c r="F24" s="18">
        <v>110977978686</v>
      </c>
      <c r="G24">
        <v>20000</v>
      </c>
      <c r="H24" t="s">
        <v>10</v>
      </c>
      <c r="I24" t="s">
        <v>13</v>
      </c>
      <c r="J24" t="s">
        <v>27</v>
      </c>
    </row>
    <row r="25" spans="2:10" x14ac:dyDescent="0.35">
      <c r="B25" t="s">
        <v>16</v>
      </c>
      <c r="C25" t="s">
        <v>21</v>
      </c>
      <c r="D25" t="s">
        <v>22</v>
      </c>
      <c r="E25">
        <v>781197150</v>
      </c>
      <c r="F25" s="18">
        <v>1197820012397990</v>
      </c>
      <c r="G25">
        <v>100000</v>
      </c>
      <c r="H25" t="s">
        <v>10</v>
      </c>
      <c r="I25" t="s">
        <v>23</v>
      </c>
      <c r="J25" t="s">
        <v>24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BBF5C-E295-4B81-9CD5-E910F436160E}">
  <sheetPr codeName="Sheet3"/>
  <dimension ref="A1"/>
  <sheetViews>
    <sheetView showGridLines="0" workbookViewId="0">
      <selection activeCell="B5" sqref="B5:J5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Form</vt:lpstr>
      <vt:lpstr>Dashboard &amp; Database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Ntawukuriryayo, Patrick</dc:creator>
  <cp:lastModifiedBy>Ntawukuriryayo, Patrick</cp:lastModifiedBy>
  <dcterms:created xsi:type="dcterms:W3CDTF">2026-03-03T08:25:41Z</dcterms:created>
  <dcterms:modified xsi:type="dcterms:W3CDTF">2026-03-03T13:41:42Z</dcterms:modified>
</cp:coreProperties>
</file>